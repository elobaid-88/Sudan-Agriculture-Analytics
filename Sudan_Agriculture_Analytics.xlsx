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📋 Raw Data" sheetId="2" state="visible" r:id="rId2"/>
    <sheet xmlns:r="http://schemas.openxmlformats.org/officeDocument/2006/relationships" name="⚠️ Alerts &amp; Insights" sheetId="3" state="visible" r:id="rId3"/>
    <sheet xmlns:r="http://schemas.openxmlformats.org/officeDocument/2006/relationships" name="📌 Power BI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8">
    <font>
      <name val="Calibri"/>
      <family val="2"/>
      <color theme="1"/>
      <sz val="11"/>
      <scheme val="minor"/>
    </font>
    <font>
      <name val="Arial"/>
      <b val="1"/>
      <color rgb="00FFC107"/>
      <sz val="18"/>
    </font>
    <font>
      <name val="Arial"/>
      <i val="1"/>
      <color rgb="0037474F"/>
      <sz val="9"/>
    </font>
    <font>
      <name val="Arial"/>
      <b val="1"/>
      <color rgb="001B5E20"/>
      <sz val="10"/>
    </font>
    <font>
      <name val="Arial"/>
      <b val="1"/>
      <color rgb="00E65100"/>
      <sz val="10"/>
    </font>
    <font>
      <name val="Arial"/>
      <b val="1"/>
      <color rgb="007C0A02"/>
      <sz val="10"/>
    </font>
    <font>
      <name val="Arial"/>
      <b val="1"/>
      <color rgb="00C62828"/>
      <sz val="10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7C0A02"/>
      <sz val="9"/>
    </font>
    <font>
      <name val="Arial"/>
      <b val="1"/>
      <color rgb="00FFFFFF"/>
      <sz val="10"/>
    </font>
    <font>
      <name val="Arial"/>
      <b val="1"/>
      <color rgb="00C62828"/>
      <sz val="9"/>
    </font>
    <font>
      <name val="Arial"/>
      <b val="1"/>
      <color rgb="007C0A02"/>
      <sz val="9"/>
    </font>
    <font>
      <name val="Arial"/>
      <b val="1"/>
      <color rgb="00FFC107"/>
      <sz val="14"/>
    </font>
    <font>
      <name val="Arial"/>
      <color rgb="00000000"/>
      <sz val="10"/>
    </font>
    <font>
      <name val="Arial"/>
      <b val="1"/>
      <color rgb="00FFC107"/>
      <sz val="12"/>
    </font>
    <font>
      <name val="Arial"/>
      <b val="1"/>
      <color rgb="00000000"/>
      <sz val="10"/>
    </font>
  </fonts>
  <fills count="17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FCDD2"/>
      </patternFill>
    </fill>
    <fill>
      <patternFill patternType="solid">
        <fgColor rgb="00FFEBEE"/>
      </patternFill>
    </fill>
    <fill>
      <patternFill patternType="solid">
        <fgColor rgb="00FFFFFF"/>
      </patternFill>
    </fill>
    <fill>
      <patternFill patternType="solid">
        <fgColor rgb="00F8FAFB"/>
      </patternFill>
    </fill>
    <fill>
      <patternFill patternType="solid">
        <fgColor rgb="00FFFDE7"/>
      </patternFill>
    </fill>
    <fill>
      <patternFill patternType="solid">
        <fgColor rgb="00E65100"/>
      </patternFill>
    </fill>
    <fill>
      <patternFill patternType="solid">
        <fgColor rgb="0000838F"/>
      </patternFill>
    </fill>
    <fill>
      <patternFill patternType="solid">
        <fgColor rgb="007C0A02"/>
      </patternFill>
    </fill>
    <fill>
      <patternFill patternType="solid">
        <fgColor rgb="00F0F7F0"/>
      </patternFill>
    </fill>
    <fill>
      <patternFill patternType="solid">
        <fgColor rgb="00D7CCC8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0" fillId="2" borderId="0" pivotButton="0" quotePrefix="0" xfId="0"/>
    <xf numFmtId="3" fontId="9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3" fontId="9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1" fillId="12" borderId="0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3" fontId="9" fillId="0" borderId="1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left" vertical="center"/>
    </xf>
    <xf numFmtId="0" fontId="15" fillId="8" borderId="1" applyAlignment="1" pivotButton="0" quotePrefix="0" xfId="0">
      <alignment horizontal="center" vertical="center"/>
    </xf>
    <xf numFmtId="0" fontId="15" fillId="14" borderId="1" applyAlignment="1" pivotButton="0" quotePrefix="0" xfId="0">
      <alignment horizontal="left" vertical="center"/>
    </xf>
    <xf numFmtId="0" fontId="15" fillId="14" borderId="1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2" fontId="9" fillId="8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left" vertical="center"/>
    </xf>
    <xf numFmtId="3" fontId="9" fillId="14" borderId="1" applyAlignment="1" pivotButton="0" quotePrefix="0" xfId="0">
      <alignment horizontal="center" vertical="center"/>
    </xf>
    <xf numFmtId="0" fontId="14" fillId="13" borderId="0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left" vertical="center" wrapText="1"/>
    </xf>
    <xf numFmtId="0" fontId="17" fillId="15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 wrapText="1"/>
    </xf>
    <xf numFmtId="0" fontId="17" fillId="10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/>
    </xf>
    <xf numFmtId="0" fontId="15" fillId="16" borderId="1" applyAlignment="1" pivotButton="0" quotePrefix="0" xfId="0">
      <alignment horizontal="left" vertical="center" wrapText="1"/>
    </xf>
    <xf numFmtId="0" fontId="17" fillId="16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left" vertical="center" wrapText="1"/>
    </xf>
    <xf numFmtId="0" fontId="1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National Crop Production 2025/26 ('000 Tons)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Dashboard'!D21</f>
            </strRef>
          </tx>
          <spPr>
            <a:solidFill xmlns:a="http://schemas.openxmlformats.org/drawingml/2006/main">
              <a:srgbClr val="1B5E20"/>
            </a:solidFill>
            <a:ln xmlns:a="http://schemas.openxmlformats.org/drawingml/2006/main">
              <a:prstDash val="solid"/>
            </a:ln>
          </spPr>
          <cat>
            <numRef>
              <f>'📊 Dashboard'!$B$22:$B$28</f>
            </numRef>
          </cat>
          <val>
            <numRef>
              <f>'📊 Dashboard'!$D$22:$D$28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'000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Sorghum Production Trend (M Tons) 2015-2026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'📊 Dashboard'!$C$31:$N$31</f>
            </numRef>
          </cat>
          <val>
            <numRef>
              <f>'📊 Dashboard'!$C$32:$N$32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38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38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18" customHeight="1">
      <c r="B1" s="1" t="inlineStr">
        <is>
          <t>🌾  SUDAN AGRICULTURE &amp; FOOD CRISIS ANALYTICS</t>
        </is>
      </c>
    </row>
    <row r="2" ht="18" customHeight="1"/>
    <row r="3" ht="18" customHeight="1"/>
    <row r="4" ht="18" customHeight="1">
      <c r="B4" s="2" t="inlineStr">
        <is>
          <t>Crop Production Intelligence  |  Data: FAO CFSAM 2025/26 &amp; USDA FAS  |  2015-2026  |  Sorghum, Sesame, Millet, Gum Arabic</t>
        </is>
      </c>
    </row>
    <row r="5" ht="18" customHeight="1"/>
    <row r="6" ht="18" customHeight="1">
      <c r="B6" s="3" t="inlineStr">
        <is>
          <t>🌍 World Rank
#1 Gum Arabic
Exporter</t>
        </is>
      </c>
      <c r="D6" s="4" t="inlineStr">
        <is>
          <t>🌾 Sorghum 2025
2.48M Tons
(-25% YoY)</t>
        </is>
      </c>
      <c r="F6" s="5" t="inlineStr">
        <is>
          <t>🚨 Famine Alert
IPC Phase 5
El Fasher &amp; Kadugli</t>
        </is>
      </c>
      <c r="H6" s="6" t="inlineStr">
        <is>
          <t>🆘 People in Need
33.7M (2026)
Highest Globally</t>
        </is>
      </c>
    </row>
    <row r="7" ht="18" customHeight="1"/>
    <row r="8" ht="18" customHeight="1"/>
    <row r="9" ht="18" customHeight="1"/>
    <row r="10" ht="22" customHeight="1">
      <c r="B10" s="7" t="inlineStr">
        <is>
          <t>State</t>
        </is>
      </c>
      <c r="C10" s="7" t="inlineStr">
        <is>
          <t>Region</t>
        </is>
      </c>
      <c r="D10" s="7" t="inlineStr">
        <is>
          <t>Sorghum</t>
        </is>
      </c>
      <c r="E10" s="7" t="inlineStr">
        <is>
          <t>Sesame</t>
        </is>
      </c>
      <c r="F10" s="7" t="inlineStr">
        <is>
          <t>Millet</t>
        </is>
      </c>
      <c r="G10" s="7" t="inlineStr">
        <is>
          <t>Groundnuts</t>
        </is>
      </c>
      <c r="H10" s="7" t="inlineStr">
        <is>
          <t>Cotton</t>
        </is>
      </c>
      <c r="I10" s="7" t="inlineStr">
        <is>
          <t>Risk Level</t>
        </is>
      </c>
    </row>
    <row r="11" ht="17" customHeight="1">
      <c r="B11" s="8" t="inlineStr">
        <is>
          <t>Gedaref</t>
        </is>
      </c>
      <c r="C11" s="9" t="inlineStr">
        <is>
          <t>Eastern</t>
        </is>
      </c>
      <c r="D11" s="10" t="n">
        <v>900</v>
      </c>
      <c r="E11" s="10" t="n">
        <v>135</v>
      </c>
      <c r="F11" s="10" t="n">
        <v>30</v>
      </c>
      <c r="G11" s="10" t="n">
        <v>22</v>
      </c>
      <c r="H11" s="10" t="n">
        <v>0</v>
      </c>
      <c r="I11" s="11" t="inlineStr">
        <is>
          <t>High</t>
        </is>
      </c>
    </row>
    <row r="12" ht="17" customHeight="1">
      <c r="B12" s="12" t="inlineStr">
        <is>
          <t>Al Jazirah</t>
        </is>
      </c>
      <c r="C12" s="13" t="inlineStr">
        <is>
          <t>Central</t>
        </is>
      </c>
      <c r="D12" s="14" t="n">
        <v>338</v>
      </c>
      <c r="E12" s="14" t="n">
        <v>15</v>
      </c>
      <c r="F12" s="14" t="n">
        <v>4</v>
      </c>
      <c r="G12" s="14" t="n">
        <v>113</v>
      </c>
      <c r="H12" s="14" t="n">
        <v>68</v>
      </c>
      <c r="I12" s="11" t="inlineStr">
        <is>
          <t>High</t>
        </is>
      </c>
    </row>
    <row r="13" ht="17" customHeight="1">
      <c r="B13" s="8" t="inlineStr">
        <is>
          <t>Sennar</t>
        </is>
      </c>
      <c r="C13" s="9" t="inlineStr">
        <is>
          <t>Central</t>
        </is>
      </c>
      <c r="D13" s="10" t="n">
        <v>285</v>
      </c>
      <c r="E13" s="10" t="n">
        <v>90</v>
      </c>
      <c r="F13" s="10" t="n">
        <v>11</v>
      </c>
      <c r="G13" s="10" t="n">
        <v>45</v>
      </c>
      <c r="H13" s="10" t="n">
        <v>8</v>
      </c>
      <c r="I13" s="11" t="inlineStr">
        <is>
          <t>High</t>
        </is>
      </c>
    </row>
    <row r="14" ht="17" customHeight="1">
      <c r="B14" s="12" t="inlineStr">
        <is>
          <t>Blue Nile</t>
        </is>
      </c>
      <c r="C14" s="13" t="inlineStr">
        <is>
          <t>Southern</t>
        </is>
      </c>
      <c r="D14" s="14" t="n">
        <v>240</v>
      </c>
      <c r="E14" s="14" t="n">
        <v>71</v>
      </c>
      <c r="F14" s="14" t="n">
        <v>8</v>
      </c>
      <c r="G14" s="14" t="n">
        <v>30</v>
      </c>
      <c r="H14" s="14" t="n">
        <v>4</v>
      </c>
      <c r="I14" s="15" t="inlineStr">
        <is>
          <t>Medium</t>
        </is>
      </c>
    </row>
    <row r="15" ht="17" customHeight="1">
      <c r="B15" s="8" t="inlineStr">
        <is>
          <t>White Nile</t>
        </is>
      </c>
      <c r="C15" s="9" t="inlineStr">
        <is>
          <t>Central</t>
        </is>
      </c>
      <c r="D15" s="10" t="n">
        <v>210</v>
      </c>
      <c r="E15" s="10" t="n">
        <v>26</v>
      </c>
      <c r="F15" s="10" t="n">
        <v>15</v>
      </c>
      <c r="G15" s="10" t="n">
        <v>83</v>
      </c>
      <c r="H15" s="10" t="n">
        <v>11</v>
      </c>
      <c r="I15" s="15" t="inlineStr">
        <is>
          <t>Medium</t>
        </is>
      </c>
    </row>
    <row r="16" ht="17" customHeight="1">
      <c r="B16" s="12" t="inlineStr">
        <is>
          <t>Kassala</t>
        </is>
      </c>
      <c r="C16" s="13" t="inlineStr">
        <is>
          <t>Eastern</t>
        </is>
      </c>
      <c r="D16" s="14" t="n">
        <v>150</v>
      </c>
      <c r="E16" s="14" t="n">
        <v>105</v>
      </c>
      <c r="F16" s="14" t="n">
        <v>19</v>
      </c>
      <c r="G16" s="14" t="n">
        <v>26</v>
      </c>
      <c r="H16" s="14" t="n">
        <v>23</v>
      </c>
      <c r="I16" s="15" t="inlineStr">
        <is>
          <t>Medium</t>
        </is>
      </c>
    </row>
    <row r="17" ht="17" customHeight="1">
      <c r="B17" s="8" t="inlineStr">
        <is>
          <t>North Kordofan</t>
        </is>
      </c>
      <c r="C17" s="9" t="inlineStr">
        <is>
          <t>Western</t>
        </is>
      </c>
      <c r="D17" s="10" t="n">
        <v>113</v>
      </c>
      <c r="E17" s="10" t="n">
        <v>45</v>
      </c>
      <c r="F17" s="10" t="n">
        <v>135</v>
      </c>
      <c r="G17" s="10" t="n">
        <v>98</v>
      </c>
      <c r="H17" s="10" t="n">
        <v>0</v>
      </c>
      <c r="I17" s="16" t="inlineStr">
        <is>
          <t>Severe</t>
        </is>
      </c>
    </row>
    <row r="18" ht="17" customHeight="1">
      <c r="B18" s="12" t="inlineStr">
        <is>
          <t>South Darfur</t>
        </is>
      </c>
      <c r="C18" s="13" t="inlineStr">
        <is>
          <t>Western</t>
        </is>
      </c>
      <c r="D18" s="14" t="n">
        <v>90</v>
      </c>
      <c r="E18" s="14" t="n">
        <v>30</v>
      </c>
      <c r="F18" s="14" t="n">
        <v>113</v>
      </c>
      <c r="G18" s="14" t="n">
        <v>68</v>
      </c>
      <c r="H18" s="14" t="n">
        <v>0</v>
      </c>
      <c r="I18" s="16" t="inlineStr">
        <is>
          <t>Severe</t>
        </is>
      </c>
    </row>
    <row r="19" ht="18" customHeight="1"/>
    <row r="20" ht="18" customHeight="1">
      <c r="B20" s="17" t="inlineStr">
        <is>
          <t>🇸🇩  NATIONAL CROP PRODUCTION — 2024/25 vs 2025/26 ('000 Metric Tons)</t>
        </is>
      </c>
    </row>
    <row r="21" ht="18" customHeight="1">
      <c r="B21" s="7" t="inlineStr">
        <is>
          <t>Crop</t>
        </is>
      </c>
      <c r="C21" s="7" t="inlineStr">
        <is>
          <t>2024/25</t>
        </is>
      </c>
      <c r="D21" s="7" t="inlineStr">
        <is>
          <t>2025/26</t>
        </is>
      </c>
      <c r="E21" s="7" t="inlineStr">
        <is>
          <t>Change %</t>
        </is>
      </c>
      <c r="F21" s="18" t="n"/>
      <c r="G21" s="18" t="n"/>
      <c r="H21" s="18" t="n"/>
      <c r="I21" s="18" t="n"/>
    </row>
    <row r="22" ht="18" customHeight="1">
      <c r="B22" s="8" t="inlineStr">
        <is>
          <t>Sorghum</t>
        </is>
      </c>
      <c r="C22" s="19" t="n">
        <v>3300</v>
      </c>
      <c r="D22" s="19" t="n">
        <v>2480</v>
      </c>
      <c r="E22" s="20" t="inlineStr">
        <is>
          <t>-24.8%</t>
        </is>
      </c>
    </row>
    <row r="23" ht="18" customHeight="1">
      <c r="B23" s="12" t="inlineStr">
        <is>
          <t>Groundnuts</t>
        </is>
      </c>
      <c r="C23" s="21" t="n">
        <v>1000</v>
      </c>
      <c r="D23" s="21" t="n">
        <v>850</v>
      </c>
      <c r="E23" s="22" t="inlineStr">
        <is>
          <t>-15.0%</t>
        </is>
      </c>
    </row>
    <row r="24" ht="18" customHeight="1">
      <c r="B24" s="8" t="inlineStr">
        <is>
          <t>Millet</t>
        </is>
      </c>
      <c r="C24" s="19" t="n">
        <v>1000</v>
      </c>
      <c r="D24" s="19" t="n">
        <v>700</v>
      </c>
      <c r="E24" s="20" t="inlineStr">
        <is>
          <t>-30.0%</t>
        </is>
      </c>
    </row>
    <row r="25" ht="18" customHeight="1">
      <c r="B25" s="12" t="inlineStr">
        <is>
          <t>Sesame</t>
        </is>
      </c>
      <c r="C25" s="21" t="n">
        <v>350</v>
      </c>
      <c r="D25" s="21" t="n">
        <v>320</v>
      </c>
      <c r="E25" s="22" t="inlineStr">
        <is>
          <t>-8.6%</t>
        </is>
      </c>
    </row>
    <row r="26" ht="18" customHeight="1">
      <c r="B26" s="8" t="inlineStr">
        <is>
          <t>Cotton</t>
        </is>
      </c>
      <c r="C26" s="19" t="n">
        <v>130</v>
      </c>
      <c r="D26" s="19" t="n">
        <v>125</v>
      </c>
      <c r="E26" s="20" t="inlineStr">
        <is>
          <t>-3.8%</t>
        </is>
      </c>
    </row>
    <row r="27" ht="18" customHeight="1">
      <c r="B27" s="12" t="inlineStr">
        <is>
          <t>Gum Arabic</t>
        </is>
      </c>
      <c r="C27" s="21" t="n">
        <v>105</v>
      </c>
      <c r="D27" s="21" t="n">
        <v>100</v>
      </c>
      <c r="E27" s="22" t="inlineStr">
        <is>
          <t>-4.8%</t>
        </is>
      </c>
    </row>
    <row r="28" ht="18" customHeight="1">
      <c r="B28" s="8" t="inlineStr">
        <is>
          <t>Wheat</t>
        </is>
      </c>
      <c r="C28" s="19" t="n">
        <v>420</v>
      </c>
      <c r="D28" s="19" t="n">
        <v>380</v>
      </c>
      <c r="E28" s="20" t="inlineStr">
        <is>
          <t>-9.5%</t>
        </is>
      </c>
    </row>
    <row r="29" ht="18" customHeight="1"/>
    <row r="30" ht="18" customHeight="1">
      <c r="B30" s="23" t="inlineStr">
        <is>
          <t>📈  12-YEAR SORGHUM PRODUCTION TREND (Million Tons) — Conflict + Famine Crisis</t>
        </is>
      </c>
    </row>
    <row r="31" ht="18" customHeight="1">
      <c r="B31" s="7" t="inlineStr">
        <is>
          <t>Year</t>
        </is>
      </c>
      <c r="C31" s="7" t="n">
        <v>2015</v>
      </c>
      <c r="D31" s="7" t="n">
        <v>2016</v>
      </c>
      <c r="E31" s="7" t="n">
        <v>2017</v>
      </c>
      <c r="F31" s="7" t="n">
        <v>2018</v>
      </c>
      <c r="G31" s="7" t="n">
        <v>2019</v>
      </c>
      <c r="H31" s="7" t="n">
        <v>2020</v>
      </c>
      <c r="I31" s="7" t="n">
        <v>2021</v>
      </c>
      <c r="J31" s="7" t="n">
        <v>2022</v>
      </c>
      <c r="K31" s="7" t="n">
        <v>2023</v>
      </c>
      <c r="L31" s="7" t="n">
        <v>2024</v>
      </c>
      <c r="M31" s="7" t="n">
        <v>2025</v>
      </c>
      <c r="N31" s="7" t="n">
        <v>2026</v>
      </c>
    </row>
    <row r="32" ht="18" customHeight="1">
      <c r="B32" s="7" t="inlineStr">
        <is>
          <t>Sorghum (M Tons)</t>
        </is>
      </c>
      <c r="C32" s="24" t="n">
        <v>4.8</v>
      </c>
      <c r="D32" s="24" t="n">
        <v>5.1</v>
      </c>
      <c r="E32" s="24" t="n">
        <v>4.5</v>
      </c>
      <c r="F32" s="24" t="n">
        <v>4.9</v>
      </c>
      <c r="G32" s="24" t="n">
        <v>4.2</v>
      </c>
      <c r="H32" s="24" t="n">
        <v>5.6</v>
      </c>
      <c r="I32" s="24" t="n">
        <v>4</v>
      </c>
      <c r="J32" s="24" t="n">
        <v>5.3</v>
      </c>
      <c r="K32" s="24" t="n">
        <v>3.06</v>
      </c>
      <c r="L32" s="24" t="n">
        <v>3.3</v>
      </c>
      <c r="M32" s="24" t="n">
        <v>2.48</v>
      </c>
      <c r="N32" s="24" t="n">
        <v>2.7</v>
      </c>
    </row>
    <row r="33" ht="18" customHeight="1">
      <c r="B33" s="7" t="inlineStr">
        <is>
          <t>Sesame Exports ($M)</t>
        </is>
      </c>
      <c r="C33" s="25" t="n">
        <v>380</v>
      </c>
      <c r="D33" s="25" t="n">
        <v>420</v>
      </c>
      <c r="E33" s="25" t="n">
        <v>450</v>
      </c>
      <c r="F33" s="25" t="n">
        <v>470</v>
      </c>
      <c r="G33" s="25" t="n">
        <v>430</v>
      </c>
      <c r="H33" s="25" t="n">
        <v>500</v>
      </c>
      <c r="I33" s="25" t="n">
        <v>353</v>
      </c>
      <c r="J33" s="25" t="n">
        <v>509</v>
      </c>
      <c r="K33" s="25" t="n">
        <v>350</v>
      </c>
      <c r="L33" s="25" t="n">
        <v>380</v>
      </c>
      <c r="M33" s="25" t="n">
        <v>320</v>
      </c>
      <c r="N33" s="25" t="n">
        <v>300</v>
      </c>
    </row>
    <row r="34" ht="18" customHeight="1"/>
    <row r="35" ht="18" customHeight="1">
      <c r="B35" s="26" t="inlineStr">
        <is>
          <t>🆘  HUMANITARIAN CRISIS — PEOPLE NEEDING ASSISTANCE (Millions)</t>
        </is>
      </c>
    </row>
    <row r="36" ht="18" customHeight="1">
      <c r="B36" s="7" t="inlineStr">
        <is>
          <t>Year</t>
        </is>
      </c>
      <c r="C36" s="27" t="n">
        <v>2023</v>
      </c>
      <c r="D36" s="27" t="n">
        <v>2024</v>
      </c>
      <c r="E36" s="27" t="n">
        <v>2025</v>
      </c>
      <c r="F36" s="27" t="n">
        <v>2026</v>
      </c>
    </row>
    <row r="37" ht="18" customHeight="1">
      <c r="B37" s="7" t="inlineStr">
        <is>
          <t>People in Need (M)</t>
        </is>
      </c>
      <c r="C37" s="28" t="n">
        <v>17.7</v>
      </c>
      <c r="D37" s="28" t="n">
        <v>24.6</v>
      </c>
      <c r="E37" s="28" t="n">
        <v>30.4</v>
      </c>
      <c r="F37" s="28" t="n">
        <v>33.7</v>
      </c>
    </row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</sheetData>
  <mergeCells count="9">
    <mergeCell ref="B20:I20"/>
    <mergeCell ref="H6:I8"/>
    <mergeCell ref="D6:E8"/>
    <mergeCell ref="B6:C8"/>
    <mergeCell ref="F6:G8"/>
    <mergeCell ref="B30:M30"/>
    <mergeCell ref="B35:I35"/>
    <mergeCell ref="B4:I4"/>
    <mergeCell ref="B1:I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N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</cols>
  <sheetData>
    <row r="1">
      <c r="B1" s="29" t="inlineStr">
        <is>
          <t>SUDAN — STATE-WISE CROP PRODUCTION DATABASE 2025/26 ('000 Tons)</t>
        </is>
      </c>
    </row>
    <row r="2"/>
    <row r="4">
      <c r="B4" s="30" t="inlineStr">
        <is>
          <t>State</t>
        </is>
      </c>
      <c r="C4" s="30" t="inlineStr">
        <is>
          <t>Region</t>
        </is>
      </c>
      <c r="D4" s="30" t="inlineStr">
        <is>
          <t>Sorghum</t>
        </is>
      </c>
      <c r="E4" s="30" t="inlineStr">
        <is>
          <t>Sesame</t>
        </is>
      </c>
      <c r="F4" s="30" t="inlineStr">
        <is>
          <t>Millet</t>
        </is>
      </c>
      <c r="G4" s="30" t="inlineStr">
        <is>
          <t>Groundnuts</t>
        </is>
      </c>
      <c r="H4" s="30" t="inlineStr">
        <is>
          <t>Cotton</t>
        </is>
      </c>
      <c r="I4" s="30" t="inlineStr">
        <is>
          <t>Gum Arabic</t>
        </is>
      </c>
    </row>
    <row r="5">
      <c r="B5" s="31" t="inlineStr">
        <is>
          <t>Gedaref</t>
        </is>
      </c>
      <c r="C5" s="31" t="inlineStr">
        <is>
          <t>Eastern</t>
        </is>
      </c>
      <c r="D5" s="32" t="n">
        <v>900</v>
      </c>
      <c r="E5" s="32" t="n">
        <v>135</v>
      </c>
      <c r="F5" s="32" t="n">
        <v>30</v>
      </c>
      <c r="G5" s="32" t="n">
        <v>22</v>
      </c>
      <c r="H5" s="32" t="n">
        <v>0</v>
      </c>
      <c r="I5" s="32" t="n">
        <v>4</v>
      </c>
    </row>
    <row r="6">
      <c r="B6" s="33" t="inlineStr">
        <is>
          <t>Al Jazirah</t>
        </is>
      </c>
      <c r="C6" s="33" t="inlineStr">
        <is>
          <t>Central</t>
        </is>
      </c>
      <c r="D6" s="34" t="n">
        <v>338</v>
      </c>
      <c r="E6" s="34" t="n">
        <v>15</v>
      </c>
      <c r="F6" s="34" t="n">
        <v>4</v>
      </c>
      <c r="G6" s="34" t="n">
        <v>113</v>
      </c>
      <c r="H6" s="34" t="n">
        <v>68</v>
      </c>
      <c r="I6" s="34" t="n">
        <v>0</v>
      </c>
    </row>
    <row r="7">
      <c r="B7" s="31" t="inlineStr">
        <is>
          <t>Sennar</t>
        </is>
      </c>
      <c r="C7" s="31" t="inlineStr">
        <is>
          <t>Central</t>
        </is>
      </c>
      <c r="D7" s="32" t="n">
        <v>285</v>
      </c>
      <c r="E7" s="32" t="n">
        <v>90</v>
      </c>
      <c r="F7" s="32" t="n">
        <v>11</v>
      </c>
      <c r="G7" s="32" t="n">
        <v>45</v>
      </c>
      <c r="H7" s="32" t="n">
        <v>8</v>
      </c>
      <c r="I7" s="32" t="n">
        <v>6</v>
      </c>
    </row>
    <row r="8">
      <c r="B8" s="33" t="inlineStr">
        <is>
          <t>Blue Nile</t>
        </is>
      </c>
      <c r="C8" s="33" t="inlineStr">
        <is>
          <t>Southern</t>
        </is>
      </c>
      <c r="D8" s="34" t="n">
        <v>240</v>
      </c>
      <c r="E8" s="34" t="n">
        <v>71</v>
      </c>
      <c r="F8" s="34" t="n">
        <v>8</v>
      </c>
      <c r="G8" s="34" t="n">
        <v>30</v>
      </c>
      <c r="H8" s="34" t="n">
        <v>4</v>
      </c>
      <c r="I8" s="34" t="n">
        <v>8</v>
      </c>
    </row>
    <row r="9">
      <c r="B9" s="31" t="inlineStr">
        <is>
          <t>White Nile</t>
        </is>
      </c>
      <c r="C9" s="31" t="inlineStr">
        <is>
          <t>Central</t>
        </is>
      </c>
      <c r="D9" s="32" t="n">
        <v>210</v>
      </c>
      <c r="E9" s="32" t="n">
        <v>26</v>
      </c>
      <c r="F9" s="32" t="n">
        <v>15</v>
      </c>
      <c r="G9" s="32" t="n">
        <v>83</v>
      </c>
      <c r="H9" s="32" t="n">
        <v>11</v>
      </c>
      <c r="I9" s="32" t="n">
        <v>4</v>
      </c>
    </row>
    <row r="10">
      <c r="B10" s="33" t="inlineStr">
        <is>
          <t>Kassala</t>
        </is>
      </c>
      <c r="C10" s="33" t="inlineStr">
        <is>
          <t>Eastern</t>
        </is>
      </c>
      <c r="D10" s="34" t="n">
        <v>150</v>
      </c>
      <c r="E10" s="34" t="n">
        <v>105</v>
      </c>
      <c r="F10" s="34" t="n">
        <v>19</v>
      </c>
      <c r="G10" s="34" t="n">
        <v>26</v>
      </c>
      <c r="H10" s="34" t="n">
        <v>23</v>
      </c>
      <c r="I10" s="34" t="n">
        <v>2</v>
      </c>
    </row>
    <row r="11">
      <c r="B11" s="31" t="inlineStr">
        <is>
          <t>North Kordofan</t>
        </is>
      </c>
      <c r="C11" s="31" t="inlineStr">
        <is>
          <t>Western</t>
        </is>
      </c>
      <c r="D11" s="32" t="n">
        <v>113</v>
      </c>
      <c r="E11" s="32" t="n">
        <v>45</v>
      </c>
      <c r="F11" s="32" t="n">
        <v>135</v>
      </c>
      <c r="G11" s="32" t="n">
        <v>98</v>
      </c>
      <c r="H11" s="32" t="n">
        <v>0</v>
      </c>
      <c r="I11" s="32" t="n">
        <v>34</v>
      </c>
    </row>
    <row r="12">
      <c r="B12" s="33" t="inlineStr">
        <is>
          <t>South Darfur</t>
        </is>
      </c>
      <c r="C12" s="33" t="inlineStr">
        <is>
          <t>Western</t>
        </is>
      </c>
      <c r="D12" s="34" t="n">
        <v>90</v>
      </c>
      <c r="E12" s="34" t="n">
        <v>30</v>
      </c>
      <c r="F12" s="34" t="n">
        <v>113</v>
      </c>
      <c r="G12" s="34" t="n">
        <v>68</v>
      </c>
      <c r="H12" s="34" t="n">
        <v>0</v>
      </c>
      <c r="I12" s="34" t="n">
        <v>45</v>
      </c>
    </row>
    <row r="14">
      <c r="B14" s="35" t="inlineStr">
        <is>
          <t>12-YEAR PRODUCTION &amp; EXPORT DATA (2015-2026)</t>
        </is>
      </c>
    </row>
    <row r="15"/>
    <row r="16">
      <c r="B16" s="7" t="inlineStr">
        <is>
          <t>Metric</t>
        </is>
      </c>
      <c r="C16" s="7" t="n">
        <v>2015</v>
      </c>
      <c r="D16" s="7" t="n">
        <v>2016</v>
      </c>
      <c r="E16" s="7" t="n">
        <v>2017</v>
      </c>
      <c r="F16" s="7" t="n">
        <v>2018</v>
      </c>
      <c r="G16" s="7" t="n">
        <v>2019</v>
      </c>
      <c r="H16" s="7" t="n">
        <v>2020</v>
      </c>
      <c r="I16" s="7" t="n">
        <v>2021</v>
      </c>
      <c r="J16" s="7" t="n">
        <v>2022</v>
      </c>
      <c r="K16" s="7" t="n">
        <v>2023</v>
      </c>
      <c r="L16" s="7" t="n">
        <v>2024</v>
      </c>
      <c r="M16" s="7" t="n">
        <v>2025</v>
      </c>
      <c r="N16" s="7" t="n">
        <v>2026</v>
      </c>
    </row>
    <row r="17">
      <c r="B17" s="8" t="inlineStr">
        <is>
          <t>Sorghum Production (M Tons)</t>
        </is>
      </c>
      <c r="C17" s="36" t="n">
        <v>4.8</v>
      </c>
      <c r="D17" s="36" t="n">
        <v>5.1</v>
      </c>
      <c r="E17" s="36" t="n">
        <v>4.5</v>
      </c>
      <c r="F17" s="36" t="n">
        <v>4.9</v>
      </c>
      <c r="G17" s="36" t="n">
        <v>4.2</v>
      </c>
      <c r="H17" s="36" t="n">
        <v>5.6</v>
      </c>
      <c r="I17" s="36" t="n">
        <v>4</v>
      </c>
      <c r="J17" s="36" t="n">
        <v>5.3</v>
      </c>
      <c r="K17" s="36" t="n">
        <v>3.06</v>
      </c>
      <c r="L17" s="36" t="n">
        <v>3.3</v>
      </c>
      <c r="M17" s="36" t="n">
        <v>2.48</v>
      </c>
      <c r="N17" s="36" t="n">
        <v>2.7</v>
      </c>
    </row>
    <row r="18">
      <c r="B18" s="37" t="inlineStr">
        <is>
          <t>Sesame Export Value ($M)</t>
        </is>
      </c>
      <c r="C18" s="38" t="n">
        <v>380</v>
      </c>
      <c r="D18" s="38" t="n">
        <v>420</v>
      </c>
      <c r="E18" s="38" t="n">
        <v>450</v>
      </c>
      <c r="F18" s="38" t="n">
        <v>470</v>
      </c>
      <c r="G18" s="38" t="n">
        <v>430</v>
      </c>
      <c r="H18" s="38" t="n">
        <v>500</v>
      </c>
      <c r="I18" s="38" t="n">
        <v>353</v>
      </c>
      <c r="J18" s="38" t="n">
        <v>509</v>
      </c>
      <c r="K18" s="38" t="n">
        <v>350</v>
      </c>
      <c r="L18" s="38" t="n">
        <v>380</v>
      </c>
      <c r="M18" s="38" t="n">
        <v>320</v>
      </c>
      <c r="N18" s="38" t="n">
        <v>300</v>
      </c>
    </row>
  </sheetData>
  <mergeCells count="2">
    <mergeCell ref="B14:N15"/>
    <mergeCell ref="B1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32" customWidth="1" min="4" max="4"/>
    <col width="18" customWidth="1" min="5" max="5"/>
  </cols>
  <sheetData>
    <row r="1">
      <c r="B1" s="39" t="inlineStr">
        <is>
          <t>🆘  CRISIS ALERTS &amp; MARKET INSIGHTS — 2026</t>
        </is>
      </c>
    </row>
    <row r="2"/>
    <row r="4">
      <c r="B4" s="40" t="inlineStr">
        <is>
          <t>Alert Level</t>
        </is>
      </c>
      <c r="C4" s="40" t="inlineStr">
        <is>
          <t>Location</t>
        </is>
      </c>
      <c r="D4" s="40" t="inlineStr">
        <is>
          <t>Issue Type</t>
        </is>
      </c>
      <c r="E4" s="40" t="inlineStr">
        <is>
          <t>Priority</t>
        </is>
      </c>
    </row>
    <row r="5" ht="32" customHeight="1">
      <c r="B5" s="41" t="inlineStr">
        <is>
          <t>⚫ FAMINE</t>
        </is>
      </c>
      <c r="C5" s="41" t="inlineStr">
        <is>
          <t>North Kordofan / South Darfur</t>
        </is>
      </c>
      <c r="D5" s="41" t="inlineStr">
        <is>
          <t>IPC Phase 5 Confirmed</t>
        </is>
      </c>
      <c r="E5" s="42" t="inlineStr">
        <is>
          <t>CRITICAL</t>
        </is>
      </c>
    </row>
    <row r="6" ht="32" customHeight="1">
      <c r="B6" s="43" t="inlineStr">
        <is>
          <t>🔴 CRITICAL</t>
        </is>
      </c>
      <c r="C6" s="43" t="inlineStr">
        <is>
          <t>Al Jazirah / Sennar</t>
        </is>
      </c>
      <c r="D6" s="43" t="inlineStr">
        <is>
          <t>Sorghum Belt Collapse</t>
        </is>
      </c>
      <c r="E6" s="44" t="inlineStr">
        <is>
          <t>Immediate</t>
        </is>
      </c>
    </row>
    <row r="7" ht="32" customHeight="1">
      <c r="B7" s="43" t="inlineStr">
        <is>
          <t>🔴 HIGH RISK</t>
        </is>
      </c>
      <c r="C7" s="43" t="inlineStr">
        <is>
          <t>Gedaref</t>
        </is>
      </c>
      <c r="D7" s="43" t="inlineStr">
        <is>
          <t>Production Decline</t>
        </is>
      </c>
      <c r="E7" s="44" t="inlineStr">
        <is>
          <t>Immediate</t>
        </is>
      </c>
    </row>
    <row r="8" ht="32" customHeight="1">
      <c r="B8" s="45" t="inlineStr">
        <is>
          <t>🟡 MODERATE</t>
        </is>
      </c>
      <c r="C8" s="45" t="inlineStr">
        <is>
          <t>North Kordofan / South Darfur</t>
        </is>
      </c>
      <c r="D8" s="45" t="inlineStr">
        <is>
          <t>Gum Arabic Supply Risk</t>
        </is>
      </c>
      <c r="E8" s="46" t="inlineStr">
        <is>
          <t>Seasonal</t>
        </is>
      </c>
    </row>
    <row r="9" ht="32" customHeight="1">
      <c r="B9" s="47" t="inlineStr">
        <is>
          <t>🟢 OPPORTUNITY</t>
        </is>
      </c>
      <c r="C9" s="47" t="inlineStr">
        <is>
          <t>Kassala / Gedaref</t>
        </is>
      </c>
      <c r="D9" s="47" t="inlineStr">
        <is>
          <t>Sesame Export Resilience</t>
        </is>
      </c>
      <c r="E9" s="48" t="inlineStr">
        <is>
          <t>Long-term</t>
        </is>
      </c>
    </row>
    <row r="10" ht="32" customHeight="1">
      <c r="B10" s="49" t="inlineStr">
        <is>
          <t>🔵 ADVISORY</t>
        </is>
      </c>
      <c r="C10" s="49" t="inlineStr">
        <is>
          <t>All States</t>
        </is>
      </c>
      <c r="D10" s="49" t="inlineStr">
        <is>
          <t>Cereal Deficit</t>
        </is>
      </c>
      <c r="E10" s="50" t="inlineStr">
        <is>
          <t>Long-term</t>
        </is>
      </c>
    </row>
    <row r="11" ht="32" customHeight="1">
      <c r="B11" s="49" t="inlineStr">
        <is>
          <t>🔵 ADVISORY</t>
        </is>
      </c>
      <c r="C11" s="49" t="inlineStr">
        <is>
          <t>Nationwide</t>
        </is>
      </c>
      <c r="D11" s="49" t="inlineStr">
        <is>
          <t>Humanitarian Scale-Up</t>
        </is>
      </c>
      <c r="E11" s="50" t="inlineStr">
        <is>
          <t>Immediate</t>
        </is>
      </c>
    </row>
  </sheetData>
  <mergeCells count="1">
    <mergeCell ref="B1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18" customWidth="1" min="3" max="3"/>
  </cols>
  <sheetData>
    <row r="1">
      <c r="B1" s="29" t="inlineStr">
        <is>
          <t>POWER BI IMPORT &amp; DASHBOARD SETUP GUIDE</t>
        </is>
      </c>
    </row>
    <row r="2"/>
    <row r="4">
      <c r="B4" s="30" t="inlineStr">
        <is>
          <t>Instruction</t>
        </is>
      </c>
      <c r="C4" s="30" t="inlineStr">
        <is>
          <t>Step</t>
        </is>
      </c>
    </row>
    <row r="5" ht="24" customHeight="1">
      <c r="B5" s="51" t="inlineStr">
        <is>
          <t>Open Power BI Desktop → Get Data → Excel Workbook → Select this file</t>
        </is>
      </c>
      <c r="C5" s="52" t="inlineStr">
        <is>
          <t>STEP 1</t>
        </is>
      </c>
    </row>
    <row r="6" ht="24" customHeight="1">
      <c r="B6" s="47" t="inlineStr">
        <is>
          <t>Load sheets: '📋 Raw Data' and the National Crop Totals + 12-year trend tables</t>
        </is>
      </c>
      <c r="C6" s="48" t="inlineStr">
        <is>
          <t>STEP 2</t>
        </is>
      </c>
    </row>
    <row r="7" ht="24" customHeight="1">
      <c r="B7" s="51" t="inlineStr">
        <is>
          <t>Create Map Visual → Location = State, Size = Sorghum production, Color = Risk Level (incl. Severe/Famine)</t>
        </is>
      </c>
      <c r="C7" s="52" t="inlineStr">
        <is>
          <t>STEP 3</t>
        </is>
      </c>
    </row>
    <row r="8" ht="24" customHeight="1">
      <c r="B8" s="47" t="inlineStr">
        <is>
          <t>Add Clustered Bar Chart → Axis = State, Values = Sorghum, Sesame, Millet, Groundnuts</t>
        </is>
      </c>
      <c r="C8" s="48" t="inlineStr">
        <is>
          <t>STEP 4</t>
        </is>
      </c>
    </row>
    <row r="9" ht="24" customHeight="1">
      <c r="B9" s="51" t="inlineStr">
        <is>
          <t>Add Line Chart → Axis = Year (2015-2026), Value = Sorghum Production (Million Tons)</t>
        </is>
      </c>
      <c r="C9" s="52" t="inlineStr">
        <is>
          <t>STEP 5</t>
        </is>
      </c>
    </row>
    <row r="10" ht="24" customHeight="1">
      <c r="B10" s="47" t="inlineStr">
        <is>
          <t>Add second Line Chart → People Needing Humanitarian Aid (2023-2026)</t>
        </is>
      </c>
      <c r="C10" s="48" t="inlineStr">
        <is>
          <t>STEP 6</t>
        </is>
      </c>
    </row>
    <row r="11" ht="24" customHeight="1">
      <c r="B11" s="51" t="inlineStr">
        <is>
          <t>Add KPI Cards → Sorghum 2025 (-25%), 33.7M People in Need, IPC Phase 5 Famine States</t>
        </is>
      </c>
      <c r="C11" s="52" t="inlineStr">
        <is>
          <t>STEP 7</t>
        </is>
      </c>
    </row>
    <row r="12" ht="24" customHeight="1">
      <c r="B12" s="47" t="inlineStr">
        <is>
          <t>Add Slicer → Field = Region (Eastern/Central/Western/Southern)</t>
        </is>
      </c>
      <c r="C12" s="48" t="inlineStr">
        <is>
          <t>STEP 8</t>
        </is>
      </c>
    </row>
    <row r="13" ht="24" customHeight="1">
      <c r="B13" s="51" t="inlineStr">
        <is>
          <t>Format theme: Deep Green #1B5E20, Gold #FFC107, Famine Dark Red #7C0A02</t>
        </is>
      </c>
      <c r="C13" s="52" t="inlineStr">
        <is>
          <t>STEP 9</t>
        </is>
      </c>
    </row>
    <row r="14" ht="24" customHeight="1">
      <c r="B14" s="47" t="inlineStr">
        <is>
          <t>Add Title: 'Sudan Agriculture &amp; Food Crisis Analytics | FAO CFSAM 2025/26'</t>
        </is>
      </c>
      <c r="C14" s="48" t="inlineStr">
        <is>
          <t>STEP 10</t>
        </is>
      </c>
    </row>
    <row r="15" ht="24" customHeight="1">
      <c r="B15" s="51" t="inlineStr">
        <is>
          <t>Publish to Power BI Service → Share link → Export as PNG for LinkedIn</t>
        </is>
      </c>
      <c r="C15" s="52" t="inlineStr">
        <is>
          <t>STEP 11</t>
        </is>
      </c>
    </row>
  </sheetData>
  <mergeCells count="1">
    <mergeCell ref="B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2026-06-13T21:42:07Z</dcterms:created>
  <dcterms:modified xmlns:dcterms="http://purl.org/dc/terms/" xmlns:xsi="http://www.w3.org/2001/XMLSchema-instance" xsi:type="dcterms:W3CDTF">2026-06-13T21:42:07Z</dcterms:modified>
</cp:coreProperties>
</file>